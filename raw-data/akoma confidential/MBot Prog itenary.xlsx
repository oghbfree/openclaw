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Gaitch\Desktop\Akoma Robotics\akoma mbot\"/>
    </mc:Choice>
  </mc:AlternateContent>
  <bookViews>
    <workbookView minimized="1" xWindow="0" yWindow="0" windowWidth="12432" windowHeight="614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25" i="1" l="1"/>
  <c r="F26" i="1"/>
  <c r="F45" i="1" l="1"/>
  <c r="F44" i="1"/>
</calcChain>
</file>

<file path=xl/sharedStrings.xml><?xml version="1.0" encoding="utf-8"?>
<sst xmlns="http://schemas.openxmlformats.org/spreadsheetml/2006/main" count="137" uniqueCount="74">
  <si>
    <t>Mbot</t>
  </si>
  <si>
    <t>Date</t>
  </si>
  <si>
    <t>Type</t>
  </si>
  <si>
    <t>buy id</t>
  </si>
  <si>
    <t>Blue or Wifi</t>
  </si>
  <si>
    <t>Parts missing</t>
  </si>
  <si>
    <t>Cost incl Shipping</t>
  </si>
  <si>
    <t>Location</t>
  </si>
  <si>
    <t>GH Arrival</t>
  </si>
  <si>
    <t>mBot V3</t>
  </si>
  <si>
    <t>mikeand</t>
  </si>
  <si>
    <t>remote</t>
  </si>
  <si>
    <t>usa</t>
  </si>
  <si>
    <t>mBot explorer kit V1</t>
  </si>
  <si>
    <t>garder</t>
  </si>
  <si>
    <t xml:space="preserve">PARTS </t>
  </si>
  <si>
    <t>uk*</t>
  </si>
  <si>
    <t>sea</t>
  </si>
  <si>
    <t xml:space="preserve">mBot </t>
  </si>
  <si>
    <t>both</t>
  </si>
  <si>
    <t>uk vinted</t>
  </si>
  <si>
    <t>junk</t>
  </si>
  <si>
    <t>NEW</t>
  </si>
  <si>
    <t xml:space="preserve">mbot </t>
  </si>
  <si>
    <t>san</t>
  </si>
  <si>
    <t>map and remote</t>
  </si>
  <si>
    <t>uk Amo*</t>
  </si>
  <si>
    <t>mbot ranger</t>
  </si>
  <si>
    <t>adia</t>
  </si>
  <si>
    <t>PARTS</t>
  </si>
  <si>
    <t>mbot</t>
  </si>
  <si>
    <t xml:space="preserve"> </t>
  </si>
  <si>
    <t>blue</t>
  </si>
  <si>
    <t>new</t>
  </si>
  <si>
    <t>UK vinted</t>
  </si>
  <si>
    <t>tidi</t>
  </si>
  <si>
    <t>foothills</t>
  </si>
  <si>
    <t xml:space="preserve">used complete </t>
  </si>
  <si>
    <t xml:space="preserve">new open box </t>
  </si>
  <si>
    <t xml:space="preserve">UK vinted </t>
  </si>
  <si>
    <t>grail</t>
  </si>
  <si>
    <t xml:space="preserve">blue </t>
  </si>
  <si>
    <t>used</t>
  </si>
  <si>
    <t>UK fb</t>
  </si>
  <si>
    <t>kay</t>
  </si>
  <si>
    <t>uk</t>
  </si>
  <si>
    <t>mark</t>
  </si>
  <si>
    <t>punta</t>
  </si>
  <si>
    <t>Total</t>
  </si>
  <si>
    <t>Avg Price</t>
  </si>
  <si>
    <t>Durable cases, 2 TV's, 1 Laptop, 2 Stand's, 1 Projector, Laser printer, anti tamper laser labels, engraver, webcam, letterheads, po box</t>
  </si>
  <si>
    <t>Cost</t>
  </si>
  <si>
    <t>Arrival</t>
  </si>
  <si>
    <t>Samsung 32 in TV's  x 2</t>
  </si>
  <si>
    <t xml:space="preserve">Laptop </t>
  </si>
  <si>
    <t>stand</t>
  </si>
  <si>
    <t>tooting</t>
  </si>
  <si>
    <t xml:space="preserve">bracket </t>
  </si>
  <si>
    <t>engraver</t>
  </si>
  <si>
    <t>webcam</t>
  </si>
  <si>
    <t>labels</t>
  </si>
  <si>
    <t>projector n/w</t>
  </si>
  <si>
    <t>Epson 7800</t>
  </si>
  <si>
    <t>hp laser</t>
  </si>
  <si>
    <t>Oct shpping</t>
  </si>
  <si>
    <t xml:space="preserve">Total </t>
  </si>
  <si>
    <t>overall total</t>
  </si>
  <si>
    <t>10/10/25 rate</t>
  </si>
  <si>
    <t>Nov shipping</t>
  </si>
  <si>
    <t>sign</t>
  </si>
  <si>
    <t>cen7</t>
  </si>
  <si>
    <t>benji</t>
  </si>
  <si>
    <t>samb</t>
  </si>
  <si>
    <t>tblack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</si>
</sst>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Font="1" applyFill="1"/>
    <xf numFmtId="164" fontId="1" fillId="0" borderId="0" xfId="0" applyNumberFormat="1" applyFont="1" applyAlignment="1"/>
    <xf numFmtId="0" fontId="1" fillId="0" borderId="0" xfId="0" applyFont="1"/>
    <xf numFmtId="0" fontId="0" fillId="3" borderId="0" xfId="0" applyFont="1" applyFill="1" applyAlignment="1"/>
    <xf numFmtId="0" fontId="1" fillId="3" borderId="0" xfId="0" applyFont="1" applyFill="1" applyAlignment="1"/>
    <xf numFmtId="164" fontId="1" fillId="0" borderId="0" xfId="0" applyNumberFormat="1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47"/>
  <sheetViews>
    <sheetView tabSelected="1" topLeftCell="A2" workbookViewId="0">
      <selection activeCell="E24" sqref="E24"/>
    </sheetView>
  </sheetViews>
  <sheetFormatPr defaultColWidth="12.6640625" defaultRowHeight="15.75" customHeight="1" x14ac:dyDescent="0.25"/>
  <cols>
    <col min="1" max="1" width="10.21875" customWidth="1"/>
  </cols>
  <sheetData>
    <row r="1" spans="1:2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2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25">
      <c r="A3" s="4">
        <v>45921</v>
      </c>
      <c r="B3" s="5" t="s">
        <v>9</v>
      </c>
      <c r="C3" s="5" t="s">
        <v>10</v>
      </c>
      <c r="D3" s="5"/>
      <c r="E3" s="5" t="s">
        <v>11</v>
      </c>
      <c r="F3" s="5">
        <v>22.65</v>
      </c>
      <c r="G3" s="5" t="s">
        <v>12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7">
        <v>45922</v>
      </c>
      <c r="B4" s="1" t="s">
        <v>13</v>
      </c>
      <c r="C4" s="1" t="s">
        <v>14</v>
      </c>
      <c r="D4" s="2"/>
      <c r="E4" s="2" t="s">
        <v>15</v>
      </c>
      <c r="F4" s="1">
        <v>15.25</v>
      </c>
      <c r="G4" s="1" t="s">
        <v>16</v>
      </c>
      <c r="H4" s="1" t="s">
        <v>17</v>
      </c>
    </row>
    <row r="5" spans="1:29" x14ac:dyDescent="0.25">
      <c r="A5" s="4">
        <v>45922</v>
      </c>
      <c r="B5" s="5" t="s">
        <v>18</v>
      </c>
      <c r="C5" s="5"/>
      <c r="D5" s="5" t="s">
        <v>19</v>
      </c>
      <c r="E5" s="6"/>
      <c r="F5" s="5">
        <v>20.95</v>
      </c>
      <c r="G5" s="5" t="s">
        <v>20</v>
      </c>
      <c r="H5" s="5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4">
        <v>45922</v>
      </c>
      <c r="B6" s="5" t="s">
        <v>18</v>
      </c>
      <c r="C6" s="5" t="s">
        <v>21</v>
      </c>
      <c r="D6" s="5"/>
      <c r="E6" s="5" t="s">
        <v>22</v>
      </c>
      <c r="F6" s="5">
        <v>32</v>
      </c>
      <c r="G6" s="5" t="s">
        <v>12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4">
        <v>45923</v>
      </c>
      <c r="B7" s="5" t="s">
        <v>23</v>
      </c>
      <c r="C7" s="5" t="s">
        <v>24</v>
      </c>
      <c r="D7" s="5"/>
      <c r="E7" s="5" t="s">
        <v>25</v>
      </c>
      <c r="F7" s="5">
        <v>16</v>
      </c>
      <c r="G7" s="5" t="s">
        <v>26</v>
      </c>
      <c r="H7" s="5" t="s">
        <v>17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7">
        <v>45923</v>
      </c>
      <c r="B8" s="1" t="s">
        <v>27</v>
      </c>
      <c r="C8" s="1" t="s">
        <v>28</v>
      </c>
      <c r="D8" s="1"/>
      <c r="E8" s="1" t="s">
        <v>29</v>
      </c>
      <c r="F8" s="1">
        <v>36.25</v>
      </c>
      <c r="G8" s="1" t="s">
        <v>12</v>
      </c>
    </row>
    <row r="9" spans="1:29" x14ac:dyDescent="0.25">
      <c r="A9" s="4">
        <v>45926</v>
      </c>
      <c r="B9" s="5" t="s">
        <v>30</v>
      </c>
      <c r="C9" s="5" t="s">
        <v>31</v>
      </c>
      <c r="D9" s="5" t="s">
        <v>32</v>
      </c>
      <c r="E9" s="5" t="s">
        <v>33</v>
      </c>
      <c r="F9" s="5">
        <v>28.17</v>
      </c>
      <c r="G9" s="5" t="s">
        <v>34</v>
      </c>
      <c r="H9" s="5" t="s">
        <v>17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4">
        <v>45926</v>
      </c>
      <c r="B10" s="5" t="s">
        <v>30</v>
      </c>
      <c r="C10" s="5" t="s">
        <v>35</v>
      </c>
      <c r="D10" s="5"/>
      <c r="E10" s="5" t="s">
        <v>33</v>
      </c>
      <c r="F10" s="5">
        <v>29.5</v>
      </c>
      <c r="G10" s="5" t="s">
        <v>12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4">
        <v>45926</v>
      </c>
      <c r="B11" s="5" t="s">
        <v>30</v>
      </c>
      <c r="C11" s="5" t="s">
        <v>36</v>
      </c>
      <c r="D11" s="5" t="s">
        <v>31</v>
      </c>
      <c r="E11" s="5" t="s">
        <v>37</v>
      </c>
      <c r="F11" s="5">
        <v>18.52</v>
      </c>
      <c r="G11" s="5" t="s">
        <v>12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4">
        <v>45927</v>
      </c>
      <c r="B12" s="5" t="s">
        <v>23</v>
      </c>
      <c r="C12" s="6"/>
      <c r="D12" s="5" t="s">
        <v>32</v>
      </c>
      <c r="E12" s="5" t="s">
        <v>38</v>
      </c>
      <c r="F12" s="5">
        <v>25.19</v>
      </c>
      <c r="G12" s="5" t="s">
        <v>39</v>
      </c>
      <c r="H12" s="5" t="s">
        <v>17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4">
        <v>45930</v>
      </c>
      <c r="B13" s="5" t="s">
        <v>30</v>
      </c>
      <c r="C13" s="5" t="s">
        <v>40</v>
      </c>
      <c r="D13" s="6"/>
      <c r="E13" s="5" t="s">
        <v>37</v>
      </c>
      <c r="F13" s="5">
        <v>20.95</v>
      </c>
      <c r="G13" s="5" t="s">
        <v>12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4">
        <v>45941</v>
      </c>
      <c r="B14" s="5" t="s">
        <v>30</v>
      </c>
      <c r="C14" s="6"/>
      <c r="D14" s="5" t="s">
        <v>41</v>
      </c>
      <c r="E14" s="5" t="s">
        <v>42</v>
      </c>
      <c r="F14" s="5">
        <v>25</v>
      </c>
      <c r="G14" s="5" t="s">
        <v>43</v>
      </c>
      <c r="H14" s="5" t="s">
        <v>17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4">
        <v>45942</v>
      </c>
      <c r="B15" s="5" t="s">
        <v>23</v>
      </c>
      <c r="C15" s="5" t="s">
        <v>44</v>
      </c>
      <c r="D15" s="6"/>
      <c r="E15" s="5" t="s">
        <v>42</v>
      </c>
      <c r="F15" s="5">
        <v>34.14</v>
      </c>
      <c r="G15" s="5" t="s">
        <v>45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4">
        <v>45946</v>
      </c>
      <c r="B16" s="5" t="s">
        <v>30</v>
      </c>
      <c r="C16" s="5" t="s">
        <v>46</v>
      </c>
      <c r="D16" s="6"/>
      <c r="E16" s="5" t="s">
        <v>42</v>
      </c>
      <c r="F16" s="5">
        <v>25.76</v>
      </c>
      <c r="G16" s="5" t="s">
        <v>45</v>
      </c>
      <c r="H16" s="6"/>
      <c r="I16" s="5" t="s">
        <v>31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4">
        <v>45949</v>
      </c>
      <c r="B17" s="5" t="s">
        <v>30</v>
      </c>
      <c r="C17" s="5" t="s">
        <v>47</v>
      </c>
      <c r="D17" s="6"/>
      <c r="E17" s="5" t="s">
        <v>42</v>
      </c>
      <c r="F17" s="5">
        <v>28.24</v>
      </c>
      <c r="G17" s="5" t="s">
        <v>45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4">
        <v>45956</v>
      </c>
      <c r="B18" s="5" t="s">
        <v>30</v>
      </c>
      <c r="C18" s="5" t="s">
        <v>69</v>
      </c>
      <c r="D18" s="9" t="s">
        <v>32</v>
      </c>
      <c r="E18" s="5" t="s">
        <v>42</v>
      </c>
      <c r="F18" s="10">
        <v>25.35</v>
      </c>
      <c r="G18" s="5" t="s">
        <v>12</v>
      </c>
      <c r="H18" s="9"/>
    </row>
    <row r="19" spans="1:29" x14ac:dyDescent="0.25">
      <c r="A19" s="4">
        <v>45963</v>
      </c>
      <c r="B19" s="5" t="s">
        <v>30</v>
      </c>
      <c r="C19" s="5" t="s">
        <v>70</v>
      </c>
      <c r="D19" s="9" t="s">
        <v>32</v>
      </c>
      <c r="E19" s="5" t="s">
        <v>42</v>
      </c>
      <c r="F19" s="10">
        <v>24.01</v>
      </c>
      <c r="G19" s="5" t="s">
        <v>45</v>
      </c>
      <c r="H19" s="9"/>
    </row>
    <row r="20" spans="1:29" x14ac:dyDescent="0.25">
      <c r="A20" s="4">
        <v>45964</v>
      </c>
      <c r="B20" s="5" t="s">
        <v>30</v>
      </c>
      <c r="C20" s="5" t="s">
        <v>71</v>
      </c>
      <c r="D20" s="9" t="s">
        <v>32</v>
      </c>
      <c r="E20" s="5" t="s">
        <v>42</v>
      </c>
      <c r="F20" s="10">
        <v>22</v>
      </c>
      <c r="G20" s="5" t="s">
        <v>12</v>
      </c>
      <c r="H20" s="9"/>
    </row>
    <row r="21" spans="1:29" x14ac:dyDescent="0.25">
      <c r="A21" s="4">
        <v>45964</v>
      </c>
      <c r="B21" s="5" t="s">
        <v>30</v>
      </c>
      <c r="C21" s="5" t="s">
        <v>72</v>
      </c>
      <c r="D21" s="9" t="s">
        <v>32</v>
      </c>
      <c r="E21" s="5" t="s">
        <v>42</v>
      </c>
      <c r="F21" s="10">
        <v>24.39</v>
      </c>
      <c r="G21" s="5" t="s">
        <v>20</v>
      </c>
      <c r="H21" s="9"/>
    </row>
    <row r="22" spans="1:29" s="13" customFormat="1" x14ac:dyDescent="0.25">
      <c r="A22" s="11">
        <v>45964</v>
      </c>
      <c r="B22" s="12" t="s">
        <v>27</v>
      </c>
      <c r="C22" s="12" t="s">
        <v>73</v>
      </c>
      <c r="D22" s="13" t="s">
        <v>32</v>
      </c>
      <c r="E22" s="12" t="s">
        <v>33</v>
      </c>
      <c r="F22" s="12">
        <v>36.5</v>
      </c>
      <c r="G22" s="12" t="s">
        <v>20</v>
      </c>
    </row>
    <row r="23" spans="1:29" s="13" customFormat="1" x14ac:dyDescent="0.25">
      <c r="A23" s="11">
        <v>45964</v>
      </c>
      <c r="B23" s="12" t="s">
        <v>27</v>
      </c>
      <c r="C23" s="12" t="s">
        <v>73</v>
      </c>
      <c r="D23" s="13" t="s">
        <v>32</v>
      </c>
      <c r="E23" s="12" t="s">
        <v>33</v>
      </c>
      <c r="F23" s="12">
        <v>36.5</v>
      </c>
      <c r="G23" s="12" t="s">
        <v>20</v>
      </c>
    </row>
    <row r="25" spans="1:29" x14ac:dyDescent="0.25">
      <c r="A25" s="2" t="s">
        <v>48</v>
      </c>
      <c r="F25" s="8">
        <f>SUM(F3:F22)</f>
        <v>510.82</v>
      </c>
    </row>
    <row r="26" spans="1:29" x14ac:dyDescent="0.25">
      <c r="A26" s="1" t="s">
        <v>49</v>
      </c>
      <c r="F26" s="8">
        <f>AVERAGE(F3:F22)</f>
        <v>25.541</v>
      </c>
    </row>
    <row r="27" spans="1:29" x14ac:dyDescent="0.25">
      <c r="A27" s="2" t="s">
        <v>50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x14ac:dyDescent="0.25">
      <c r="A28" s="1" t="s">
        <v>1</v>
      </c>
      <c r="B28" s="1" t="s">
        <v>2</v>
      </c>
      <c r="C28" s="1"/>
      <c r="D28" s="1"/>
      <c r="E28" s="1"/>
      <c r="F28" s="1" t="s">
        <v>51</v>
      </c>
      <c r="G28" s="1" t="s">
        <v>7</v>
      </c>
      <c r="H28" s="1" t="s">
        <v>52</v>
      </c>
    </row>
    <row r="29" spans="1:29" x14ac:dyDescent="0.25">
      <c r="B29" s="1" t="s">
        <v>53</v>
      </c>
      <c r="F29" s="1">
        <v>40</v>
      </c>
      <c r="G29" s="1" t="s">
        <v>17</v>
      </c>
    </row>
    <row r="30" spans="1:29" x14ac:dyDescent="0.25">
      <c r="B30" s="1" t="s">
        <v>54</v>
      </c>
      <c r="F30" s="1">
        <v>30</v>
      </c>
      <c r="G30" s="1" t="s">
        <v>17</v>
      </c>
    </row>
    <row r="31" spans="1:29" x14ac:dyDescent="0.25">
      <c r="A31" s="7">
        <v>45924</v>
      </c>
      <c r="B31" s="1" t="s">
        <v>55</v>
      </c>
      <c r="C31" s="1"/>
      <c r="D31" s="1" t="s">
        <v>56</v>
      </c>
      <c r="E31" s="1" t="s">
        <v>57</v>
      </c>
      <c r="F31" s="1">
        <v>5</v>
      </c>
      <c r="G31" s="1" t="s">
        <v>17</v>
      </c>
    </row>
    <row r="32" spans="1:29" x14ac:dyDescent="0.25">
      <c r="B32" s="1" t="s">
        <v>58</v>
      </c>
      <c r="F32" s="1">
        <v>2</v>
      </c>
      <c r="G32" s="1" t="s">
        <v>17</v>
      </c>
    </row>
    <row r="33" spans="1:6" x14ac:dyDescent="0.25">
      <c r="B33" s="1" t="s">
        <v>59</v>
      </c>
      <c r="F33" s="1">
        <v>4</v>
      </c>
    </row>
    <row r="34" spans="1:6" x14ac:dyDescent="0.25">
      <c r="B34" s="1" t="s">
        <v>60</v>
      </c>
      <c r="F34" s="1">
        <v>30</v>
      </c>
    </row>
    <row r="35" spans="1:6" x14ac:dyDescent="0.25">
      <c r="A35" s="7">
        <v>45940</v>
      </c>
      <c r="B35" s="1" t="s">
        <v>55</v>
      </c>
      <c r="F35" s="1">
        <v>0</v>
      </c>
    </row>
    <row r="36" spans="1:6" x14ac:dyDescent="0.25">
      <c r="B36" s="1" t="s">
        <v>61</v>
      </c>
      <c r="F36" s="1">
        <v>10</v>
      </c>
    </row>
    <row r="37" spans="1:6" x14ac:dyDescent="0.25">
      <c r="B37" s="1" t="s">
        <v>61</v>
      </c>
      <c r="F37" s="1">
        <v>20</v>
      </c>
    </row>
    <row r="38" spans="1:6" x14ac:dyDescent="0.25">
      <c r="B38" s="1" t="s">
        <v>62</v>
      </c>
      <c r="F38" s="1">
        <v>10</v>
      </c>
    </row>
    <row r="39" spans="1:6" x14ac:dyDescent="0.25">
      <c r="B39" s="1" t="s">
        <v>63</v>
      </c>
      <c r="F39" s="1">
        <v>30</v>
      </c>
    </row>
    <row r="40" spans="1:6" x14ac:dyDescent="0.25">
      <c r="A40" s="1" t="s">
        <v>64</v>
      </c>
      <c r="B40" s="1"/>
      <c r="F40" s="1">
        <v>310</v>
      </c>
    </row>
    <row r="41" spans="1:6" x14ac:dyDescent="0.25">
      <c r="A41" t="s">
        <v>68</v>
      </c>
      <c r="B41" s="1"/>
      <c r="F41" s="1">
        <v>200</v>
      </c>
    </row>
    <row r="42" spans="1:6" x14ac:dyDescent="0.25">
      <c r="B42" s="1"/>
      <c r="F42" s="1"/>
    </row>
    <row r="43" spans="1:6" x14ac:dyDescent="0.25">
      <c r="B43" s="1"/>
      <c r="F43" s="1"/>
    </row>
    <row r="44" spans="1:6" x14ac:dyDescent="0.25">
      <c r="A44" s="1" t="s">
        <v>65</v>
      </c>
      <c r="F44" s="8">
        <f>SUM(F29:F43)</f>
        <v>691</v>
      </c>
    </row>
    <row r="45" spans="1:6" x14ac:dyDescent="0.25">
      <c r="A45" s="1" t="s">
        <v>66</v>
      </c>
      <c r="F45" s="8">
        <f>SUM(F25,F44)</f>
        <v>1201.82</v>
      </c>
    </row>
    <row r="47" spans="1:6" x14ac:dyDescent="0.25">
      <c r="A47" s="1" t="s">
        <v>67</v>
      </c>
      <c r="F47" s="1">
        <v>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OGaitch</cp:lastModifiedBy>
  <dcterms:modified xsi:type="dcterms:W3CDTF">2025-11-05T11:49:25Z</dcterms:modified>
</cp:coreProperties>
</file>